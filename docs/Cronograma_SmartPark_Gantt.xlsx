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bc9277dcac90739/Desktop/ProyectoFinal5toF/SmarkPark/docs/"/>
    </mc:Choice>
  </mc:AlternateContent>
  <xr:revisionPtr revIDLastSave="0" documentId="11_802CF321A0F69F7CE809FD16CFA84B4CD66A2AE1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onograma Gantt" sheetId="1" r:id="rId1"/>
    <sheet name="Resumen Ejecutiv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<sst xmlns="http://schemas.openxmlformats.org/spreadsheetml/2006/main" count="79" uniqueCount="56">
  <si>
    <t>Cronograma Gantt - SmartPark</t>
  </si>
  <si>
    <t>Sistema de Gestion de Estacionamientos</t>
  </si>
  <si>
    <t>Inicio: 25/04/26  |  Fin: 20/05/26  |  Duracion total: 26 dias</t>
  </si>
  <si>
    <t>#</t>
  </si>
  <si>
    <t>Requisito</t>
  </si>
  <si>
    <t>Inicio</t>
  </si>
  <si>
    <t>Duracion (dias)</t>
  </si>
  <si>
    <t>Fin</t>
  </si>
  <si>
    <t>% Completado</t>
  </si>
  <si>
    <t>Responsable</t>
  </si>
  <si>
    <t>RF1: Registro de garajes (multi-tenant)</t>
  </si>
  <si>
    <t>BD</t>
  </si>
  <si>
    <t>RF2: Registro de propietarios/usuarios</t>
  </si>
  <si>
    <t>Backend</t>
  </si>
  <si>
    <t>RF3: Registro de vehiculos (placa, marca, modelo)</t>
  </si>
  <si>
    <t>RF4: Asignacion de parqueos por unidad</t>
  </si>
  <si>
    <t>RF5: Control de entradas/salidas</t>
  </si>
  <si>
    <t>RF6: Lectura QR o codigo para acceso</t>
  </si>
  <si>
    <t>Frontend</t>
  </si>
  <si>
    <t>RF7: Gestion de visitantes y parqueo temporal</t>
  </si>
  <si>
    <t>RF8: Tarifas por tiempo (si aplica)</t>
  </si>
  <si>
    <t>RF9: Multivehiculo por usuario</t>
  </si>
  <si>
    <t>RF10: Control de cupos disponibles</t>
  </si>
  <si>
    <t>RF11: Alertas de acceso no autorizado</t>
  </si>
  <si>
    <t>RF12: Historial de movimientos</t>
  </si>
  <si>
    <t>RF13: Reporte de ocupacion</t>
  </si>
  <si>
    <t>Testing</t>
  </si>
  <si>
    <t>RF14: Reporte por vehiculo</t>
  </si>
  <si>
    <t>RF15: Reporte por usuario</t>
  </si>
  <si>
    <t>RF16: Multinivel (pisos)</t>
  </si>
  <si>
    <t>RF17: Reservas de parqueo (opcional)</t>
  </si>
  <si>
    <t>RF18: Pagos por mensualidad</t>
  </si>
  <si>
    <t>RF19: Morosidad</t>
  </si>
  <si>
    <t>RF20: Notificaciones</t>
  </si>
  <si>
    <t>RF21: Panel de seguridad/porteria</t>
  </si>
  <si>
    <t>RF22: Control de roles</t>
  </si>
  <si>
    <t>RF23: Auditoria</t>
  </si>
  <si>
    <t>RF24: Exportacion</t>
  </si>
  <si>
    <t>Documentacion</t>
  </si>
  <si>
    <t>RF25: Configuracion</t>
  </si>
  <si>
    <t>Resumen Ejecutivo - SmartPark</t>
  </si>
  <si>
    <t>Cronograma general de requisitos funcionales</t>
  </si>
  <si>
    <t>Indicador</t>
  </si>
  <si>
    <t>Valor</t>
  </si>
  <si>
    <t>Total requisitos</t>
  </si>
  <si>
    <t>Avance general</t>
  </si>
  <si>
    <t>Completados</t>
  </si>
  <si>
    <t>Fecha inicio</t>
  </si>
  <si>
    <t>En progreso</t>
  </si>
  <si>
    <t>Fecha fin</t>
  </si>
  <si>
    <t>Pendientes</t>
  </si>
  <si>
    <t>Duracion total</t>
  </si>
  <si>
    <t>Estado</t>
  </si>
  <si>
    <t>Cantidad</t>
  </si>
  <si>
    <t>Completado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</si>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</sst>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d/mm/yy"/>
  </numFmts>
  <fonts count="8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sz val="12"/>
      <color rgb="FFFFFFFF"/>
      <name val="Carlito"/>
    </font>
    <font>
      <sz val="10"/>
      <color rgb="FFD9E6F2"/>
      <name val="Carlito"/>
    </font>
    <font>
      <b/>
      <sz val="9"/>
      <color rgb="FFFFFFFF"/>
      <name val="Carlito"/>
    </font>
    <font>
      <sz val="11"/>
      <color rgb="FF10253F"/>
      <name val="Carlito"/>
    </font>
    <font>
      <sz val="11"/>
      <color rgb="FFD9E6F2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5203E"/>
      </patternFill>
    </fill>
    <fill>
      <patternFill patternType="solid">
        <fgColor rgb="FFFFFFFF"/>
      </patternFill>
    </fill>
    <fill>
      <patternFill patternType="solid">
        <fgColor rgb="FFF3F6FA"/>
      </patternFill>
    </fill>
    <fill>
      <patternFill patternType="solid">
        <fgColor rgb="FFFFB800"/>
      </patternFill>
    </fill>
    <fill>
      <patternFill patternType="solid">
        <fgColor rgb="FF0983C8"/>
      </patternFill>
    </fill>
    <fill>
      <patternFill patternType="solid">
        <fgColor rgb="FF06D6A0"/>
      </patternFill>
    </fill>
    <fill>
      <patternFill patternType="solid">
        <fgColor rgb="FFEF476F"/>
      </patternFill>
    </fill>
    <fill>
      <patternFill patternType="solid">
        <fgColor rgb="FF9D4EDD"/>
      </patternFill>
    </fill>
    <fill>
      <patternFill patternType="solid">
        <fgColor rgb="FFF8FAFC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0" fontId="6" fillId="3" borderId="6" xfId="0" applyFont="1" applyFill="1" applyBorder="1"/>
    <xf numFmtId="0" fontId="6" fillId="3" borderId="7" xfId="0" applyFont="1" applyFill="1" applyBorder="1"/>
    <xf numFmtId="0" fontId="6" fillId="3" borderId="8" xfId="0" applyFont="1" applyFill="1" applyBorder="1"/>
    <xf numFmtId="0" fontId="6" fillId="3" borderId="9" xfId="0" applyFont="1" applyFill="1" applyBorder="1"/>
    <xf numFmtId="0" fontId="6" fillId="3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9" fontId="6" fillId="3" borderId="2" xfId="0" applyNumberFormat="1" applyFont="1" applyFill="1" applyBorder="1" applyAlignment="1">
      <alignment horizontal="center" vertical="center"/>
    </xf>
    <xf numFmtId="9" fontId="6" fillId="4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/>
    <xf numFmtId="0" fontId="6" fillId="10" borderId="6" xfId="0" applyFont="1" applyFill="1" applyBorder="1"/>
    <xf numFmtId="0" fontId="6" fillId="10" borderId="7" xfId="0" applyFont="1" applyFill="1" applyBorder="1"/>
    <xf numFmtId="0" fontId="6" fillId="10" borderId="8" xfId="0" applyFont="1" applyFill="1" applyBorder="1"/>
    <xf numFmtId="0" fontId="6" fillId="10" borderId="9" xfId="0" applyFont="1" applyFill="1" applyBorder="1"/>
    <xf numFmtId="9" fontId="6" fillId="10" borderId="7" xfId="0" applyNumberFormat="1" applyFont="1" applyFill="1" applyBorder="1"/>
    <xf numFmtId="165" fontId="6" fillId="10" borderId="7" xfId="0" applyNumberFormat="1" applyFont="1" applyFill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Estado actual del proyecto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'Resumen Ejecutivo'!$A$11:$A$13</c:f>
              <c:strCache>
                <c:ptCount val="3"/>
                <c:pt idx="0">
                  <c:v>Completado</c:v>
                </c:pt>
                <c:pt idx="1">
                  <c:v>En progreso</c:v>
                </c:pt>
                <c:pt idx="2">
                  <c:v>Pendiente</c:v>
                </c:pt>
              </c:strCache>
            </c:strRef>
          </c:cat>
          <c:val>
            <c:numRef>
              <c:f>'Resumen Ejecutivo'!$B$11:$B$13</c:f>
              <c:numCache>
                <c:formatCode>General</c:formatCode>
                <c:ptCount val="3"/>
                <c:pt idx="0">
                  <c:v>19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4-46A8-ABCF-29D0422E3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"/>
  <sheetViews>
    <sheetView showGridLines="0" tabSelected="1" topLeftCell="G1" workbookViewId="0">
      <selection activeCell="G32" sqref="G32"/>
    </sheetView>
  </sheetViews>
  <sheetFormatPr baseColWidth="10" defaultColWidth="8.6640625" defaultRowHeight="14"/>
  <cols>
    <col min="1" max="1" width="5" customWidth="1"/>
    <col min="2" max="2" width="47.75" customWidth="1"/>
    <col min="3" max="3" width="11.1640625" customWidth="1"/>
    <col min="4" max="4" width="11.6640625" customWidth="1"/>
    <col min="5" max="5" width="11.1640625" customWidth="1"/>
    <col min="6" max="6" width="11.6640625" customWidth="1"/>
    <col min="7" max="7" width="14.1640625" customWidth="1"/>
    <col min="8" max="33" width="3.33203125" customWidth="1"/>
  </cols>
  <sheetData>
    <row r="1" spans="1:33" ht="24" customHeight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 ht="24" customHeight="1">
      <c r="A2" s="40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</row>
    <row r="3" spans="1:33" ht="24" customHeight="1">
      <c r="A3" s="41" t="s">
        <v>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</row>
    <row r="5" spans="1:33" ht="18" customHeight="1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3" t="s">
        <v>9</v>
      </c>
      <c r="H5" s="4">
        <v>46137</v>
      </c>
      <c r="I5" s="5">
        <v>46138</v>
      </c>
      <c r="J5" s="5">
        <v>46139</v>
      </c>
      <c r="K5" s="5">
        <v>46140</v>
      </c>
      <c r="L5" s="5">
        <v>46141</v>
      </c>
      <c r="M5" s="5">
        <v>46142</v>
      </c>
      <c r="N5" s="5">
        <v>46143</v>
      </c>
      <c r="O5" s="5">
        <v>46144</v>
      </c>
      <c r="P5" s="5">
        <v>46145</v>
      </c>
      <c r="Q5" s="5">
        <v>46146</v>
      </c>
      <c r="R5" s="5">
        <v>46147</v>
      </c>
      <c r="S5" s="5">
        <v>46148</v>
      </c>
      <c r="T5" s="5">
        <v>46149</v>
      </c>
      <c r="U5" s="5">
        <v>46150</v>
      </c>
      <c r="V5" s="5">
        <v>46151</v>
      </c>
      <c r="W5" s="5">
        <v>46152</v>
      </c>
      <c r="X5" s="5">
        <v>46153</v>
      </c>
      <c r="Y5" s="5">
        <v>46154</v>
      </c>
      <c r="Z5" s="5">
        <v>46155</v>
      </c>
      <c r="AA5" s="5">
        <v>46156</v>
      </c>
      <c r="AB5" s="5">
        <v>46157</v>
      </c>
      <c r="AC5" s="5">
        <v>46158</v>
      </c>
      <c r="AD5" s="5">
        <v>46159</v>
      </c>
      <c r="AE5" s="5">
        <v>46160</v>
      </c>
      <c r="AF5" s="5">
        <v>46161</v>
      </c>
      <c r="AG5" s="6">
        <v>46162</v>
      </c>
    </row>
    <row r="6" spans="1:33" ht="18" customHeight="1">
      <c r="A6" s="13">
        <v>1</v>
      </c>
      <c r="B6" s="11" t="s">
        <v>10</v>
      </c>
      <c r="C6" s="15">
        <v>46137</v>
      </c>
      <c r="D6" s="17">
        <v>2</v>
      </c>
      <c r="E6" s="15">
        <f t="shared" ref="E6:E30" si="0">C6+D6-1</f>
        <v>46138</v>
      </c>
      <c r="F6" s="19">
        <v>1</v>
      </c>
      <c r="G6" s="21" t="s">
        <v>11</v>
      </c>
      <c r="H6" s="23"/>
      <c r="I6" s="23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spans="1:33" ht="18" customHeight="1">
      <c r="A7" s="14">
        <v>2</v>
      </c>
      <c r="B7" s="12" t="s">
        <v>12</v>
      </c>
      <c r="C7" s="16">
        <v>46137</v>
      </c>
      <c r="D7" s="18">
        <v>2</v>
      </c>
      <c r="E7" s="16">
        <f t="shared" si="0"/>
        <v>46138</v>
      </c>
      <c r="F7" s="20">
        <v>1</v>
      </c>
      <c r="G7" s="22" t="s">
        <v>13</v>
      </c>
      <c r="H7" s="25"/>
      <c r="I7" s="25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</row>
    <row r="8" spans="1:33" ht="18" customHeight="1">
      <c r="A8" s="13">
        <v>3</v>
      </c>
      <c r="B8" s="11" t="s">
        <v>14</v>
      </c>
      <c r="C8" s="15">
        <v>46139</v>
      </c>
      <c r="D8" s="17">
        <v>2</v>
      </c>
      <c r="E8" s="15">
        <f t="shared" si="0"/>
        <v>46140</v>
      </c>
      <c r="F8" s="19">
        <v>1</v>
      </c>
      <c r="G8" s="21" t="s">
        <v>13</v>
      </c>
      <c r="H8" s="24"/>
      <c r="I8" s="24"/>
      <c r="J8" s="25"/>
      <c r="K8" s="25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 spans="1:33" ht="18" customHeight="1">
      <c r="A9" s="14">
        <v>4</v>
      </c>
      <c r="B9" s="12" t="s">
        <v>15</v>
      </c>
      <c r="C9" s="16">
        <v>46141</v>
      </c>
      <c r="D9" s="18">
        <v>2</v>
      </c>
      <c r="E9" s="16">
        <f t="shared" si="0"/>
        <v>46142</v>
      </c>
      <c r="F9" s="20">
        <v>1</v>
      </c>
      <c r="G9" s="22" t="s">
        <v>13</v>
      </c>
      <c r="H9" s="26"/>
      <c r="I9" s="26"/>
      <c r="J9" s="26"/>
      <c r="K9" s="26"/>
      <c r="L9" s="25"/>
      <c r="M9" s="25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</row>
    <row r="10" spans="1:33" ht="18" customHeight="1">
      <c r="A10" s="13">
        <v>5</v>
      </c>
      <c r="B10" s="11" t="s">
        <v>16</v>
      </c>
      <c r="C10" s="15">
        <v>46143</v>
      </c>
      <c r="D10" s="17">
        <v>3</v>
      </c>
      <c r="E10" s="15">
        <f t="shared" si="0"/>
        <v>46145</v>
      </c>
      <c r="F10" s="19">
        <v>1</v>
      </c>
      <c r="G10" s="21" t="s">
        <v>13</v>
      </c>
      <c r="H10" s="24"/>
      <c r="I10" s="24"/>
      <c r="J10" s="24"/>
      <c r="K10" s="24"/>
      <c r="L10" s="24"/>
      <c r="M10" s="24"/>
      <c r="N10" s="25"/>
      <c r="O10" s="25"/>
      <c r="P10" s="25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spans="1:33" ht="18" customHeight="1">
      <c r="A11" s="14">
        <v>6</v>
      </c>
      <c r="B11" s="12" t="s">
        <v>17</v>
      </c>
      <c r="C11" s="16">
        <v>46143</v>
      </c>
      <c r="D11" s="18">
        <v>3</v>
      </c>
      <c r="E11" s="16">
        <f t="shared" si="0"/>
        <v>46145</v>
      </c>
      <c r="F11" s="20">
        <v>0.5</v>
      </c>
      <c r="G11" s="22" t="s">
        <v>18</v>
      </c>
      <c r="H11" s="26"/>
      <c r="I11" s="26"/>
      <c r="J11" s="26"/>
      <c r="K11" s="26"/>
      <c r="L11" s="26"/>
      <c r="M11" s="26"/>
      <c r="N11" s="27"/>
      <c r="O11" s="27"/>
      <c r="P11" s="27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</row>
    <row r="12" spans="1:33" ht="18" customHeight="1">
      <c r="A12" s="13">
        <v>7</v>
      </c>
      <c r="B12" s="11" t="s">
        <v>19</v>
      </c>
      <c r="C12" s="15">
        <v>46145</v>
      </c>
      <c r="D12" s="17">
        <v>2</v>
      </c>
      <c r="E12" s="15">
        <f t="shared" si="0"/>
        <v>46146</v>
      </c>
      <c r="F12" s="19">
        <v>0.5</v>
      </c>
      <c r="G12" s="21" t="s">
        <v>18</v>
      </c>
      <c r="H12" s="24"/>
      <c r="I12" s="24"/>
      <c r="J12" s="24"/>
      <c r="K12" s="24"/>
      <c r="L12" s="24"/>
      <c r="M12" s="24"/>
      <c r="N12" s="24"/>
      <c r="O12" s="24"/>
      <c r="P12" s="27"/>
      <c r="Q12" s="27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spans="1:33" ht="18" customHeight="1">
      <c r="A13" s="14">
        <v>8</v>
      </c>
      <c r="B13" s="12" t="s">
        <v>20</v>
      </c>
      <c r="C13" s="16">
        <v>46146</v>
      </c>
      <c r="D13" s="18">
        <v>2</v>
      </c>
      <c r="E13" s="16">
        <f t="shared" si="0"/>
        <v>46147</v>
      </c>
      <c r="F13" s="20">
        <v>1</v>
      </c>
      <c r="G13" s="22" t="s">
        <v>13</v>
      </c>
      <c r="H13" s="26"/>
      <c r="I13" s="26"/>
      <c r="J13" s="26"/>
      <c r="K13" s="26"/>
      <c r="L13" s="26"/>
      <c r="M13" s="26"/>
      <c r="N13" s="26"/>
      <c r="O13" s="26"/>
      <c r="P13" s="26"/>
      <c r="Q13" s="25"/>
      <c r="R13" s="25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</row>
    <row r="14" spans="1:33" ht="18" customHeight="1">
      <c r="A14" s="13">
        <v>9</v>
      </c>
      <c r="B14" s="11" t="s">
        <v>21</v>
      </c>
      <c r="C14" s="15">
        <v>46147</v>
      </c>
      <c r="D14" s="17">
        <v>1</v>
      </c>
      <c r="E14" s="15">
        <f t="shared" si="0"/>
        <v>46147</v>
      </c>
      <c r="F14" s="19">
        <v>1</v>
      </c>
      <c r="G14" s="21" t="s">
        <v>13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5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spans="1:33" ht="18" customHeight="1">
      <c r="A15" s="14">
        <v>10</v>
      </c>
      <c r="B15" s="12" t="s">
        <v>22</v>
      </c>
      <c r="C15" s="16">
        <v>46148</v>
      </c>
      <c r="D15" s="18">
        <v>2</v>
      </c>
      <c r="E15" s="16">
        <f t="shared" si="0"/>
        <v>46149</v>
      </c>
      <c r="F15" s="20">
        <v>1</v>
      </c>
      <c r="G15" s="22" t="s">
        <v>11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3"/>
      <c r="T15" s="23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</row>
    <row r="16" spans="1:33" ht="18" customHeight="1">
      <c r="A16" s="13">
        <v>11</v>
      </c>
      <c r="B16" s="11" t="s">
        <v>23</v>
      </c>
      <c r="C16" s="15">
        <v>46149</v>
      </c>
      <c r="D16" s="17">
        <v>2</v>
      </c>
      <c r="E16" s="15">
        <f t="shared" si="0"/>
        <v>46150</v>
      </c>
      <c r="F16" s="19">
        <v>1</v>
      </c>
      <c r="G16" s="21" t="s">
        <v>13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spans="1:33" ht="18" customHeight="1">
      <c r="A17" s="14">
        <v>12</v>
      </c>
      <c r="B17" s="12" t="s">
        <v>24</v>
      </c>
      <c r="C17" s="16">
        <v>46149</v>
      </c>
      <c r="D17" s="18">
        <v>2</v>
      </c>
      <c r="E17" s="16">
        <f t="shared" si="0"/>
        <v>46150</v>
      </c>
      <c r="F17" s="20">
        <v>1</v>
      </c>
      <c r="G17" s="22" t="s">
        <v>13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5"/>
      <c r="U17" s="25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</row>
    <row r="18" spans="1:33" ht="18" customHeight="1">
      <c r="A18" s="13">
        <v>13</v>
      </c>
      <c r="B18" s="11" t="s">
        <v>25</v>
      </c>
      <c r="C18" s="15">
        <v>46151</v>
      </c>
      <c r="D18" s="17">
        <v>2</v>
      </c>
      <c r="E18" s="15">
        <f t="shared" si="0"/>
        <v>46152</v>
      </c>
      <c r="F18" s="19">
        <v>1</v>
      </c>
      <c r="G18" s="21" t="s">
        <v>26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8"/>
      <c r="W18" s="28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spans="1:33" ht="18" customHeight="1">
      <c r="A19" s="14">
        <v>14</v>
      </c>
      <c r="B19" s="12" t="s">
        <v>27</v>
      </c>
      <c r="C19" s="16">
        <v>46152</v>
      </c>
      <c r="D19" s="18">
        <v>2</v>
      </c>
      <c r="E19" s="16">
        <f t="shared" si="0"/>
        <v>46153</v>
      </c>
      <c r="F19" s="20">
        <v>1</v>
      </c>
      <c r="G19" s="22" t="s">
        <v>26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8"/>
      <c r="X19" s="28"/>
      <c r="Y19" s="26"/>
      <c r="Z19" s="26"/>
      <c r="AA19" s="26"/>
      <c r="AB19" s="26"/>
      <c r="AC19" s="26"/>
      <c r="AD19" s="26"/>
      <c r="AE19" s="26"/>
      <c r="AF19" s="26"/>
      <c r="AG19" s="26"/>
    </row>
    <row r="20" spans="1:33" ht="18" customHeight="1">
      <c r="A20" s="13">
        <v>15</v>
      </c>
      <c r="B20" s="11" t="s">
        <v>28</v>
      </c>
      <c r="C20" s="15">
        <v>46153</v>
      </c>
      <c r="D20" s="17">
        <v>2</v>
      </c>
      <c r="E20" s="15">
        <f t="shared" si="0"/>
        <v>46154</v>
      </c>
      <c r="F20" s="19">
        <v>1</v>
      </c>
      <c r="G20" s="21" t="s">
        <v>26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8"/>
      <c r="Y20" s="28"/>
      <c r="Z20" s="24"/>
      <c r="AA20" s="24"/>
      <c r="AB20" s="24"/>
      <c r="AC20" s="24"/>
      <c r="AD20" s="24"/>
      <c r="AE20" s="24"/>
      <c r="AF20" s="24"/>
      <c r="AG20" s="24"/>
    </row>
    <row r="21" spans="1:33" ht="18" customHeight="1">
      <c r="A21" s="14">
        <v>16</v>
      </c>
      <c r="B21" s="12" t="s">
        <v>29</v>
      </c>
      <c r="C21" s="16">
        <v>46154</v>
      </c>
      <c r="D21" s="18">
        <v>1</v>
      </c>
      <c r="E21" s="16">
        <f t="shared" si="0"/>
        <v>46154</v>
      </c>
      <c r="F21" s="20">
        <v>1</v>
      </c>
      <c r="G21" s="22" t="s">
        <v>13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5"/>
      <c r="Z21" s="26"/>
      <c r="AA21" s="26"/>
      <c r="AB21" s="26"/>
      <c r="AC21" s="26"/>
      <c r="AD21" s="26"/>
      <c r="AE21" s="26"/>
      <c r="AF21" s="26"/>
      <c r="AG21" s="26"/>
    </row>
    <row r="22" spans="1:33" ht="18" customHeight="1">
      <c r="A22" s="13">
        <v>17</v>
      </c>
      <c r="B22" s="11" t="s">
        <v>30</v>
      </c>
      <c r="C22" s="15">
        <v>46154</v>
      </c>
      <c r="D22" s="17">
        <v>2</v>
      </c>
      <c r="E22" s="15">
        <f t="shared" si="0"/>
        <v>46155</v>
      </c>
      <c r="F22" s="19">
        <v>0.5</v>
      </c>
      <c r="G22" s="21" t="s">
        <v>18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7"/>
      <c r="Z22" s="27"/>
      <c r="AA22" s="24"/>
      <c r="AB22" s="24"/>
      <c r="AC22" s="24"/>
      <c r="AD22" s="24"/>
      <c r="AE22" s="24"/>
      <c r="AF22" s="24"/>
      <c r="AG22" s="24"/>
    </row>
    <row r="23" spans="1:33" ht="18" customHeight="1">
      <c r="A23" s="14">
        <v>18</v>
      </c>
      <c r="B23" s="12" t="s">
        <v>31</v>
      </c>
      <c r="C23" s="16">
        <v>46155</v>
      </c>
      <c r="D23" s="18">
        <v>2</v>
      </c>
      <c r="E23" s="16">
        <f t="shared" si="0"/>
        <v>46156</v>
      </c>
      <c r="F23" s="20">
        <v>0.5</v>
      </c>
      <c r="G23" s="22" t="s">
        <v>13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5"/>
      <c r="AA23" s="25"/>
      <c r="AB23" s="26"/>
      <c r="AC23" s="26"/>
      <c r="AD23" s="26"/>
      <c r="AE23" s="26"/>
      <c r="AF23" s="26"/>
      <c r="AG23" s="26"/>
    </row>
    <row r="24" spans="1:33" ht="18" customHeight="1">
      <c r="A24" s="13">
        <v>19</v>
      </c>
      <c r="B24" s="11" t="s">
        <v>32</v>
      </c>
      <c r="C24" s="15">
        <v>46156</v>
      </c>
      <c r="D24" s="17">
        <v>2</v>
      </c>
      <c r="E24" s="15">
        <f t="shared" si="0"/>
        <v>46157</v>
      </c>
      <c r="F24" s="19">
        <v>0</v>
      </c>
      <c r="G24" s="21" t="s">
        <v>13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  <c r="AB24" s="25"/>
      <c r="AC24" s="24"/>
      <c r="AD24" s="24"/>
      <c r="AE24" s="24"/>
      <c r="AF24" s="24"/>
      <c r="AG24" s="24"/>
    </row>
    <row r="25" spans="1:33" ht="18" customHeight="1">
      <c r="A25" s="14">
        <v>20</v>
      </c>
      <c r="B25" s="12" t="s">
        <v>33</v>
      </c>
      <c r="C25" s="16">
        <v>46156</v>
      </c>
      <c r="D25" s="18">
        <v>2</v>
      </c>
      <c r="E25" s="16">
        <f t="shared" si="0"/>
        <v>46157</v>
      </c>
      <c r="F25" s="20">
        <v>1</v>
      </c>
      <c r="G25" s="22" t="s">
        <v>18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  <c r="AB25" s="27"/>
      <c r="AC25" s="26"/>
      <c r="AD25" s="26"/>
      <c r="AE25" s="26"/>
      <c r="AF25" s="26"/>
      <c r="AG25" s="26"/>
    </row>
    <row r="26" spans="1:33" ht="18" customHeight="1">
      <c r="A26" s="13">
        <v>21</v>
      </c>
      <c r="B26" s="11" t="s">
        <v>34</v>
      </c>
      <c r="C26" s="15">
        <v>46158</v>
      </c>
      <c r="D26" s="17">
        <v>2</v>
      </c>
      <c r="E26" s="15">
        <f t="shared" si="0"/>
        <v>46159</v>
      </c>
      <c r="F26" s="19">
        <v>1</v>
      </c>
      <c r="G26" s="21" t="s">
        <v>18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7"/>
      <c r="AD26" s="27"/>
      <c r="AE26" s="24"/>
      <c r="AF26" s="24"/>
      <c r="AG26" s="24"/>
    </row>
    <row r="27" spans="1:33" ht="18" customHeight="1">
      <c r="A27" s="14">
        <v>22</v>
      </c>
      <c r="B27" s="12" t="s">
        <v>35</v>
      </c>
      <c r="C27" s="16">
        <v>46159</v>
      </c>
      <c r="D27" s="18">
        <v>1</v>
      </c>
      <c r="E27" s="16">
        <f t="shared" si="0"/>
        <v>46159</v>
      </c>
      <c r="F27" s="20">
        <v>1</v>
      </c>
      <c r="G27" s="22" t="s">
        <v>13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5"/>
      <c r="AE27" s="26"/>
      <c r="AF27" s="26"/>
      <c r="AG27" s="26"/>
    </row>
    <row r="28" spans="1:33" ht="18" customHeight="1">
      <c r="A28" s="13">
        <v>23</v>
      </c>
      <c r="B28" s="11" t="s">
        <v>36</v>
      </c>
      <c r="C28" s="15">
        <v>46160</v>
      </c>
      <c r="D28" s="17">
        <v>1</v>
      </c>
      <c r="E28" s="15">
        <f t="shared" si="0"/>
        <v>46160</v>
      </c>
      <c r="F28" s="19">
        <v>1</v>
      </c>
      <c r="G28" s="21" t="s">
        <v>13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5"/>
      <c r="AF28" s="24"/>
      <c r="AG28" s="24"/>
    </row>
    <row r="29" spans="1:33" ht="18" customHeight="1">
      <c r="A29" s="14">
        <v>24</v>
      </c>
      <c r="B29" s="12" t="s">
        <v>37</v>
      </c>
      <c r="C29" s="16">
        <v>46161</v>
      </c>
      <c r="D29" s="18">
        <v>1</v>
      </c>
      <c r="E29" s="16">
        <f t="shared" si="0"/>
        <v>46161</v>
      </c>
      <c r="F29" s="20">
        <v>0.5</v>
      </c>
      <c r="G29" s="22" t="s">
        <v>38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9"/>
      <c r="AG29" s="26"/>
    </row>
    <row r="30" spans="1:33" ht="18" customHeight="1">
      <c r="A30" s="13">
        <v>25</v>
      </c>
      <c r="B30" s="11" t="s">
        <v>39</v>
      </c>
      <c r="C30" s="15">
        <v>46162</v>
      </c>
      <c r="D30" s="17">
        <v>1</v>
      </c>
      <c r="E30" s="15">
        <f t="shared" si="0"/>
        <v>46162</v>
      </c>
      <c r="F30" s="19">
        <v>1</v>
      </c>
      <c r="G30" s="21" t="s">
        <v>18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7"/>
    </row>
  </sheetData>
  <mergeCells count="3">
    <mergeCell ref="A1:AG1"/>
    <mergeCell ref="A2:AG2"/>
    <mergeCell ref="A3:AG3"/>
  </mergeCells>
  <dataValidations count="1">
    <dataValidation type="list" sqref="F6:F30" xr:uid="{00000000-0002-0000-0000-000000000000}">
      <formula1>"0,0.25,0.5,0.75,1"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workbookViewId="0"/>
  </sheetViews>
  <sheetFormatPr baseColWidth="10" defaultColWidth="8.6640625" defaultRowHeight="14"/>
  <cols>
    <col min="1" max="1" width="20.83203125" customWidth="1"/>
    <col min="2" max="2" width="11.4140625" customWidth="1"/>
    <col min="4" max="4" width="19.5" customWidth="1"/>
    <col min="5" max="5" width="14.1640625" customWidth="1"/>
  </cols>
  <sheetData>
    <row r="1" spans="1:8" ht="23">
      <c r="A1" s="38" t="s">
        <v>40</v>
      </c>
      <c r="B1" s="39"/>
      <c r="C1" s="39"/>
      <c r="D1" s="39"/>
      <c r="E1" s="39"/>
      <c r="F1" s="39"/>
      <c r="G1" s="39"/>
      <c r="H1" s="39"/>
    </row>
    <row r="2" spans="1:8">
      <c r="A2" s="42" t="s">
        <v>41</v>
      </c>
      <c r="B2" s="39"/>
      <c r="C2" s="39"/>
      <c r="D2" s="39"/>
      <c r="E2" s="39"/>
      <c r="F2" s="39"/>
      <c r="G2" s="39"/>
      <c r="H2" s="39"/>
    </row>
    <row r="4" spans="1:8">
      <c r="A4" s="30" t="s">
        <v>42</v>
      </c>
      <c r="B4" s="31" t="s">
        <v>43</v>
      </c>
      <c r="D4" s="30" t="s">
        <v>42</v>
      </c>
      <c r="E4" s="31" t="s">
        <v>43</v>
      </c>
    </row>
    <row r="5" spans="1:8">
      <c r="A5" s="32" t="s">
        <v>44</v>
      </c>
      <c r="B5" s="33">
        <v>25</v>
      </c>
      <c r="D5" s="32" t="s">
        <v>45</v>
      </c>
      <c r="E5" s="36">
        <v>0.86</v>
      </c>
    </row>
    <row r="6" spans="1:8">
      <c r="A6" s="32" t="s">
        <v>46</v>
      </c>
      <c r="B6" s="33">
        <v>19</v>
      </c>
      <c r="D6" s="32" t="s">
        <v>47</v>
      </c>
      <c r="E6" s="37">
        <v>46137</v>
      </c>
    </row>
    <row r="7" spans="1:8">
      <c r="A7" s="32" t="s">
        <v>48</v>
      </c>
      <c r="B7" s="33">
        <v>5</v>
      </c>
      <c r="D7" s="32" t="s">
        <v>49</v>
      </c>
      <c r="E7" s="37">
        <v>46162</v>
      </c>
    </row>
    <row r="8" spans="1:8">
      <c r="A8" s="34" t="s">
        <v>50</v>
      </c>
      <c r="B8" s="35">
        <v>1</v>
      </c>
      <c r="D8" s="34" t="s">
        <v>51</v>
      </c>
      <c r="E8" s="35">
        <v>26</v>
      </c>
    </row>
    <row r="10" spans="1:8">
      <c r="A10" s="30" t="s">
        <v>52</v>
      </c>
      <c r="B10" s="31" t="s">
        <v>53</v>
      </c>
    </row>
    <row r="11" spans="1:8">
      <c r="A11" s="7" t="s">
        <v>54</v>
      </c>
      <c r="B11" s="8">
        <v>19</v>
      </c>
    </row>
    <row r="12" spans="1:8">
      <c r="A12" s="7" t="s">
        <v>48</v>
      </c>
      <c r="B12" s="8">
        <v>5</v>
      </c>
    </row>
    <row r="13" spans="1:8">
      <c r="A13" s="9" t="s">
        <v>55</v>
      </c>
      <c r="B13" s="10">
        <v>1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 Gantt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Gianni Subervi Alcantara</cp:lastModifiedBy>
  <dcterms:modified xsi:type="dcterms:W3CDTF">2026-05-04T16:23:45Z</dcterms:modified>
</cp:coreProperties>
</file>